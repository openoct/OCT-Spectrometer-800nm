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<sst xmlns="http://schemas.openxmlformats.org/spreadsheetml/2006/main" count="65" uniqueCount="53">
  <si>
    <t>Component</t>
  </si>
  <si>
    <t>Link</t>
  </si>
  <si>
    <t>Count</t>
  </si>
  <si>
    <t>Unit Cost</t>
  </si>
  <si>
    <t>Cost</t>
  </si>
  <si>
    <t>ACA254-060-B Thorlabs Lens</t>
  </si>
  <si>
    <t>https://www.thorlabs.com/item/ACA254-060-B</t>
  </si>
  <si>
    <t>Lenses</t>
  </si>
  <si>
    <t>AC508-150-B Thorlabs Lens</t>
  </si>
  <si>
    <t>https://www.thorlabs.com/item/AC508-150-B</t>
  </si>
  <si>
    <t>Thorlabs Parts</t>
  </si>
  <si>
    <t>E-47-318 Fosco Lens</t>
  </si>
  <si>
    <t>https://www.fiberoptics4sale.com/products/e-47-318-50mm-dia-x-150mm-fl-nir-ii-coated-achromatic-lens?srsltid=AfmBOoqlrZ542vSx7YA1tIJcJ6wzAlQQ_r8rSVIDxz8UWH8PtZobVA29</t>
  </si>
  <si>
    <t>Other</t>
  </si>
  <si>
    <t>LC1582Thorlabs Lens</t>
  </si>
  <si>
    <t>https://www.thorlabs.com/item/LC1582</t>
  </si>
  <si>
    <t>1200 l/mm @ 840 nm CWL Wasatch Photonics Grating</t>
  </si>
  <si>
    <t>https://wasatchphotonics.com/product/1200-lmm-at-840nm/</t>
  </si>
  <si>
    <t>CP08 SM1-Threaded 30 mm Cage Plate Thorlabs</t>
  </si>
  <si>
    <t>https://www.thorlabs.com/item/CP08?aID=9b7ad1ce18f38acbfbc35c07a0a58fed&amp;aC=1</t>
  </si>
  <si>
    <t>KM100 Mirror Mount Thorlabs</t>
  </si>
  <si>
    <t>https://www.thorlabs.com/item/km100</t>
  </si>
  <si>
    <t>BB1-E03 Mirror Thorlabs</t>
  </si>
  <si>
    <t>https://www.thorlabs.com/item/BB1-E03?aID=2bd44a8503c395d2c7328da5cfa22d5d&amp;aC=1</t>
  </si>
  <si>
    <t>SM1FCA2 Fiber Adapter Plate Thorlabs</t>
  </si>
  <si>
    <t>https://www.thorlabs.com/item/SM1FCA2?aID=3c165c423fd31a95592191ec19c70f7c&amp;aC=1</t>
  </si>
  <si>
    <t>ER3 Cage assembly rod Thorlabs</t>
  </si>
  <si>
    <t>https://www.thorlabs.com/item/ER3?aID=653f3be7440901d5acfa0ead3f6dfa5b&amp;aC=1</t>
  </si>
  <si>
    <t>1/4" - 80 Bronze threaded bushing Thorlabs 0.57"</t>
  </si>
  <si>
    <t>https://www.thorlabs.com/item/F25SSN2P</t>
  </si>
  <si>
    <t>1/4" - 80 Fine adjustment screw and knob Thorlabs 1.50"</t>
  </si>
  <si>
    <t>https://www.thorlabs.com/item/FAS150</t>
  </si>
  <si>
    <t>7119N117 Ultra-Low-Friction Oil-Embedded Sleeve Bearing McMasterCarr</t>
  </si>
  <si>
    <t>https://www.mcmaster.com/7119N117/</t>
  </si>
  <si>
    <t>28.5 mm x 7mm x 1mm Compression Spring McMasterCarr</t>
  </si>
  <si>
    <t>https://www.mcmaster.com/94125K635/</t>
  </si>
  <si>
    <t>N/A</t>
  </si>
  <si>
    <t>Package of 5</t>
  </si>
  <si>
    <t>EV71YO1 Octoplus CCD Camera (Green)</t>
  </si>
  <si>
    <t>https://www.teledynevisionsolutions.com/products/octoplus/?model=EV71YO1&amp;vertical=tvs-e2v&amp;segment=tvs</t>
  </si>
  <si>
    <t>5V - 0.17A Fan, CanaKit</t>
  </si>
  <si>
    <t>https://www.digikey.com/en/products/detail/adafruit-industries-llc/4468/11587354?gclsrc=aw.ds&amp;gad_source=1&amp;gad_campaignid=20228387720&amp;gbraid=0AAAAADrbLliN5GmdLEwKnFTniR0LlcHcP&amp;gclid=Cj0KCQjwkOvTBhDgARIsAKUNyRsf7uy9RaGyV9fpyENnSk8OFroE_qinXlD0jKWJ1FYO3m4KirBxp5MaAurcEALw_wcB</t>
  </si>
  <si>
    <t>M3 - 10mm screw</t>
  </si>
  <si>
    <t>Varies</t>
  </si>
  <si>
    <t>M4 - 12mm screw</t>
  </si>
  <si>
    <t xml:space="preserve">M4 - 25mm screw </t>
  </si>
  <si>
    <t>4-40 - 3/8" screw</t>
  </si>
  <si>
    <t>M4 - 16mm screw</t>
  </si>
  <si>
    <t>M4 - Nut</t>
  </si>
  <si>
    <t>3D printed components</t>
  </si>
  <si>
    <t>Full set</t>
  </si>
  <si>
    <t>Approximate filament cost for all of the pieces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</si>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</sst>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$&quot;"/>
    <numFmt numFmtId="165" formatCode="#,##0&quot;$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Fill="1" applyFont="1"/>
    <xf borderId="0" fillId="0" fontId="4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5" fontId="1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horlabs.com/item/F25SSN2P" TargetMode="External"/><Relationship Id="rId10" Type="http://schemas.openxmlformats.org/officeDocument/2006/relationships/hyperlink" Target="https://www.thorlabs.com/item/ER3?aID=653f3be7440901d5acfa0ead3f6dfa5b&amp;aC=1" TargetMode="External"/><Relationship Id="rId13" Type="http://schemas.openxmlformats.org/officeDocument/2006/relationships/hyperlink" Target="https://www.mcmaster.com/7119N117/" TargetMode="External"/><Relationship Id="rId12" Type="http://schemas.openxmlformats.org/officeDocument/2006/relationships/hyperlink" Target="https://www.thorlabs.com/item/FAS150" TargetMode="External"/><Relationship Id="rId1" Type="http://schemas.openxmlformats.org/officeDocument/2006/relationships/hyperlink" Target="https://www.thorlabs.com/item/ACA254-060-B" TargetMode="External"/><Relationship Id="rId2" Type="http://schemas.openxmlformats.org/officeDocument/2006/relationships/hyperlink" Target="https://www.thorlabs.com/item/AC508-150-B" TargetMode="External"/><Relationship Id="rId3" Type="http://schemas.openxmlformats.org/officeDocument/2006/relationships/hyperlink" Target="https://www.fiberoptics4sale.com/products/e-47-318-50mm-dia-x-150mm-fl-nir-ii-coated-achromatic-lens?srsltid=AfmBOoqlrZ542vSx7YA1tIJcJ6wzAlQQ_r8rSVIDxz8UWH8PtZobVA29" TargetMode="External"/><Relationship Id="rId4" Type="http://schemas.openxmlformats.org/officeDocument/2006/relationships/hyperlink" Target="https://www.thorlabs.com/item/LC1582" TargetMode="External"/><Relationship Id="rId9" Type="http://schemas.openxmlformats.org/officeDocument/2006/relationships/hyperlink" Target="https://www.thorlabs.com/item/SM1FCA2?aID=3c165c423fd31a95592191ec19c70f7c&amp;aC=1" TargetMode="External"/><Relationship Id="rId15" Type="http://schemas.openxmlformats.org/officeDocument/2006/relationships/hyperlink" Target="https://www.teledynevisionsolutions.com/products/octoplus/?model=EV71YO1&amp;vertical=tvs-e2v&amp;segment=tvs" TargetMode="External"/><Relationship Id="rId14" Type="http://schemas.openxmlformats.org/officeDocument/2006/relationships/hyperlink" Target="https://www.mcmaster.com/94125K635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igikey.com/en/products/detail/adafruit-industries-llc/4468/11587354?gclsrc=aw.ds&amp;gad_source=1&amp;gad_campaignid=20228387720&amp;gbraid=0AAAAADrbLliN5GmdLEwKnFTniR0LlcHcP&amp;gclid=Cj0KCQjwkOvTBhDgARIsAKUNyRsf7uy9RaGyV9fpyENnSk8OFroE_qinXlD0jKWJ1FYO3m4KirBxp5MaAurcEALw_wcB" TargetMode="External"/><Relationship Id="rId5" Type="http://schemas.openxmlformats.org/officeDocument/2006/relationships/hyperlink" Target="https://wasatchphotonics.com/product/1200-lmm-at-840nm/" TargetMode="External"/><Relationship Id="rId6" Type="http://schemas.openxmlformats.org/officeDocument/2006/relationships/hyperlink" Target="https://www.thorlabs.com/item/CP08?aID=9b7ad1ce18f38acbfbc35c07a0a58fed&amp;aC=1" TargetMode="External"/><Relationship Id="rId7" Type="http://schemas.openxmlformats.org/officeDocument/2006/relationships/hyperlink" Target="https://www.thorlabs.com/item/km100" TargetMode="External"/><Relationship Id="rId8" Type="http://schemas.openxmlformats.org/officeDocument/2006/relationships/hyperlink" Target="https://www.thorlabs.com/item/BB1-E03?aID=2bd44a8503c395d2c7328da5cfa22d5d&amp;a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1">
        <v>1.0</v>
      </c>
      <c r="D2" s="4">
        <v>616.48</v>
      </c>
      <c r="E2" s="5">
        <f t="shared" ref="E2:E14" si="1">C2*D2</f>
        <v>616.48</v>
      </c>
      <c r="G2" s="6"/>
      <c r="H2" s="1" t="s">
        <v>7</v>
      </c>
    </row>
    <row r="3">
      <c r="A3" s="2" t="s">
        <v>8</v>
      </c>
      <c r="B3" s="7" t="s">
        <v>9</v>
      </c>
      <c r="C3" s="1">
        <v>1.0</v>
      </c>
      <c r="D3" s="4">
        <v>167.78</v>
      </c>
      <c r="E3" s="5">
        <f t="shared" si="1"/>
        <v>167.78</v>
      </c>
      <c r="G3" s="8"/>
      <c r="H3" s="1" t="s">
        <v>10</v>
      </c>
    </row>
    <row r="4">
      <c r="A4" s="2" t="s">
        <v>11</v>
      </c>
      <c r="B4" s="7" t="s">
        <v>12</v>
      </c>
      <c r="C4" s="1">
        <v>1.0</v>
      </c>
      <c r="D4" s="4">
        <v>433.0</v>
      </c>
      <c r="E4" s="5">
        <f t="shared" si="1"/>
        <v>433</v>
      </c>
      <c r="G4" s="9"/>
      <c r="H4" s="1" t="s">
        <v>13</v>
      </c>
    </row>
    <row r="5">
      <c r="A5" s="2" t="s">
        <v>14</v>
      </c>
      <c r="B5" s="7" t="s">
        <v>15</v>
      </c>
      <c r="C5" s="1">
        <v>1.0</v>
      </c>
      <c r="D5" s="4">
        <v>25.03</v>
      </c>
      <c r="E5" s="5">
        <f t="shared" si="1"/>
        <v>25.03</v>
      </c>
    </row>
    <row r="6">
      <c r="A6" s="2" t="s">
        <v>16</v>
      </c>
      <c r="B6" s="7" t="s">
        <v>17</v>
      </c>
      <c r="C6" s="1">
        <v>1.0</v>
      </c>
      <c r="D6" s="4">
        <v>495.0</v>
      </c>
      <c r="E6" s="5">
        <f t="shared" si="1"/>
        <v>495</v>
      </c>
    </row>
    <row r="7">
      <c r="A7" s="10" t="s">
        <v>18</v>
      </c>
      <c r="B7" s="7" t="s">
        <v>19</v>
      </c>
      <c r="C7" s="1">
        <v>1.0</v>
      </c>
      <c r="D7" s="4">
        <v>24.65</v>
      </c>
      <c r="E7" s="5">
        <f t="shared" si="1"/>
        <v>24.65</v>
      </c>
    </row>
    <row r="8">
      <c r="A8" s="10" t="s">
        <v>20</v>
      </c>
      <c r="B8" s="7" t="s">
        <v>21</v>
      </c>
      <c r="C8" s="1">
        <v>1.0</v>
      </c>
      <c r="D8" s="4">
        <v>44.78</v>
      </c>
      <c r="E8" s="5">
        <f t="shared" si="1"/>
        <v>44.78</v>
      </c>
    </row>
    <row r="9">
      <c r="A9" s="10" t="s">
        <v>22</v>
      </c>
      <c r="B9" s="7" t="s">
        <v>23</v>
      </c>
      <c r="C9" s="1">
        <v>1.0</v>
      </c>
      <c r="D9" s="4">
        <v>86.91</v>
      </c>
      <c r="E9" s="5">
        <f t="shared" si="1"/>
        <v>86.91</v>
      </c>
    </row>
    <row r="10">
      <c r="A10" s="10" t="s">
        <v>24</v>
      </c>
      <c r="B10" s="7" t="s">
        <v>25</v>
      </c>
      <c r="C10" s="1">
        <v>1.0</v>
      </c>
      <c r="D10" s="4">
        <v>39.1</v>
      </c>
      <c r="E10" s="5">
        <f t="shared" si="1"/>
        <v>39.1</v>
      </c>
    </row>
    <row r="11">
      <c r="A11" s="10" t="s">
        <v>26</v>
      </c>
      <c r="B11" s="7" t="s">
        <v>27</v>
      </c>
      <c r="C11" s="1">
        <v>2.0</v>
      </c>
      <c r="D11" s="4">
        <v>7.64</v>
      </c>
      <c r="E11" s="5">
        <f t="shared" si="1"/>
        <v>15.28</v>
      </c>
    </row>
    <row r="12">
      <c r="A12" s="10" t="s">
        <v>28</v>
      </c>
      <c r="B12" s="7" t="s">
        <v>29</v>
      </c>
      <c r="C12" s="1">
        <v>2.0</v>
      </c>
      <c r="D12" s="4">
        <v>6.6</v>
      </c>
      <c r="E12" s="5">
        <f t="shared" si="1"/>
        <v>13.2</v>
      </c>
    </row>
    <row r="13">
      <c r="A13" s="10" t="s">
        <v>30</v>
      </c>
      <c r="B13" s="7" t="s">
        <v>31</v>
      </c>
      <c r="C13" s="1">
        <v>2.0</v>
      </c>
      <c r="D13" s="4">
        <v>8.2</v>
      </c>
      <c r="E13" s="5">
        <f t="shared" si="1"/>
        <v>16.4</v>
      </c>
    </row>
    <row r="14">
      <c r="A14" s="11" t="s">
        <v>32</v>
      </c>
      <c r="B14" s="7" t="s">
        <v>33</v>
      </c>
      <c r="C14" s="1">
        <v>4.0</v>
      </c>
      <c r="D14" s="4">
        <v>2.72</v>
      </c>
      <c r="E14" s="5">
        <f t="shared" si="1"/>
        <v>10.88</v>
      </c>
    </row>
    <row r="15">
      <c r="A15" s="11" t="s">
        <v>34</v>
      </c>
      <c r="B15" s="7" t="s">
        <v>35</v>
      </c>
      <c r="C15" s="1">
        <v>3.0</v>
      </c>
      <c r="D15" s="1" t="s">
        <v>36</v>
      </c>
      <c r="E15" s="4">
        <v>9.28</v>
      </c>
      <c r="F15" s="1" t="s">
        <v>37</v>
      </c>
    </row>
    <row r="16">
      <c r="A16" s="11" t="s">
        <v>38</v>
      </c>
      <c r="B16" s="7" t="s">
        <v>39</v>
      </c>
      <c r="C16" s="1">
        <v>1.0</v>
      </c>
      <c r="D16" s="12">
        <v>6000.0</v>
      </c>
      <c r="E16" s="13">
        <f t="shared" ref="E16:E17" si="2">C16*D16</f>
        <v>6000</v>
      </c>
    </row>
    <row r="17">
      <c r="A17" s="11" t="s">
        <v>40</v>
      </c>
      <c r="B17" s="7" t="s">
        <v>41</v>
      </c>
      <c r="C17" s="1">
        <v>1.0</v>
      </c>
      <c r="D17" s="4">
        <v>2.95</v>
      </c>
      <c r="E17" s="5">
        <f t="shared" si="2"/>
        <v>2.95</v>
      </c>
    </row>
    <row r="18">
      <c r="A18" s="11" t="s">
        <v>42</v>
      </c>
      <c r="B18" s="1" t="s">
        <v>43</v>
      </c>
      <c r="C18" s="1">
        <v>4.0</v>
      </c>
      <c r="E18" s="1" t="s">
        <v>43</v>
      </c>
    </row>
    <row r="19">
      <c r="A19" s="11" t="s">
        <v>44</v>
      </c>
      <c r="B19" s="1" t="s">
        <v>43</v>
      </c>
      <c r="C19" s="1">
        <v>5.0</v>
      </c>
      <c r="E19" s="1" t="s">
        <v>43</v>
      </c>
      <c r="H19" s="14"/>
    </row>
    <row r="20">
      <c r="A20" s="11" t="s">
        <v>45</v>
      </c>
      <c r="B20" s="1" t="s">
        <v>43</v>
      </c>
      <c r="C20" s="1">
        <v>1.0</v>
      </c>
      <c r="E20" s="1" t="s">
        <v>43</v>
      </c>
    </row>
    <row r="21">
      <c r="A21" s="11" t="s">
        <v>46</v>
      </c>
      <c r="B21" s="1" t="s">
        <v>43</v>
      </c>
      <c r="C21" s="1">
        <v>4.0</v>
      </c>
      <c r="E21" s="1" t="s">
        <v>43</v>
      </c>
    </row>
    <row r="22">
      <c r="A22" s="11" t="s">
        <v>47</v>
      </c>
      <c r="B22" s="1" t="s">
        <v>43</v>
      </c>
      <c r="C22" s="1">
        <v>1.0</v>
      </c>
      <c r="E22" s="1" t="s">
        <v>43</v>
      </c>
    </row>
    <row r="23">
      <c r="A23" s="11" t="s">
        <v>48</v>
      </c>
      <c r="B23" s="1" t="s">
        <v>43</v>
      </c>
      <c r="C23" s="1">
        <v>1.0</v>
      </c>
      <c r="E23" s="1" t="s">
        <v>43</v>
      </c>
    </row>
    <row r="24">
      <c r="A24" s="11" t="s">
        <v>49</v>
      </c>
      <c r="B24" s="1" t="s">
        <v>36</v>
      </c>
      <c r="C24" s="1" t="s">
        <v>50</v>
      </c>
      <c r="E24" s="12">
        <v>5.0</v>
      </c>
      <c r="F24" s="1" t="s">
        <v>51</v>
      </c>
    </row>
    <row r="25">
      <c r="D25" s="1" t="s">
        <v>52</v>
      </c>
      <c r="E25" s="15">
        <f>SUM(E2:E24)</f>
        <v>8005.72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